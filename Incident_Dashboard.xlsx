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mite\OneDrive\Desktop\IT-Support-Monitoring-Project\Dashboard\"/>
    </mc:Choice>
  </mc:AlternateContent>
  <xr:revisionPtr revIDLastSave="0" documentId="8_{068CEDEA-2FA8-4B87-A902-BFEDDD6C81C5}" xr6:coauthVersionLast="47" xr6:coauthVersionMax="47" xr10:uidLastSave="{00000000-0000-0000-0000-000000000000}"/>
  <bookViews>
    <workbookView xWindow="-108" yWindow="-108" windowWidth="23256" windowHeight="12456" activeTab="1" xr2:uid="{F854C845-E10C-43BD-96FC-0A8E0B730874}"/>
  </bookViews>
  <sheets>
    <sheet name="Incident_Data" sheetId="1" r:id="rId1"/>
    <sheet name="Dashboar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2" l="1"/>
  <c r="Q4" i="2"/>
  <c r="Q2" i="2"/>
  <c r="K3" i="2"/>
  <c r="K4" i="2"/>
  <c r="K5" i="2"/>
  <c r="K6" i="2"/>
  <c r="K7" i="2"/>
  <c r="K8" i="2"/>
  <c r="K2" i="2"/>
  <c r="B7" i="2"/>
  <c r="E4" i="2"/>
  <c r="E3" i="2"/>
  <c r="E2" i="2"/>
  <c r="B5" i="2"/>
  <c r="B3" i="2"/>
  <c r="B1" i="2"/>
</calcChain>
</file>

<file path=xl/sharedStrings.xml><?xml version="1.0" encoding="utf-8"?>
<sst xmlns="http://schemas.openxmlformats.org/spreadsheetml/2006/main" count="81" uniqueCount="49">
  <si>
    <t>Ticket_ID</t>
  </si>
  <si>
    <t>Date</t>
  </si>
  <si>
    <t>User_Name</t>
  </si>
  <si>
    <t>Department</t>
  </si>
  <si>
    <t>Issue_Type</t>
  </si>
  <si>
    <t>Priority</t>
  </si>
  <si>
    <t>Status</t>
  </si>
  <si>
    <t>Resolution_Time_Hours</t>
  </si>
  <si>
    <t>Engineer</t>
  </si>
  <si>
    <t>INC001</t>
  </si>
  <si>
    <t>INC002</t>
  </si>
  <si>
    <t>INC003</t>
  </si>
  <si>
    <t>INC004</t>
  </si>
  <si>
    <t>INC005</t>
  </si>
  <si>
    <t>INC006</t>
  </si>
  <si>
    <t>INC007</t>
  </si>
  <si>
    <t>Rahul</t>
  </si>
  <si>
    <t>Priya</t>
  </si>
  <si>
    <t>Amit</t>
  </si>
  <si>
    <t>Neha</t>
  </si>
  <si>
    <t>Abhishek</t>
  </si>
  <si>
    <t>Adarsh</t>
  </si>
  <si>
    <t>HR</t>
  </si>
  <si>
    <t>Finance</t>
  </si>
  <si>
    <t>Sales</t>
  </si>
  <si>
    <t>IT</t>
  </si>
  <si>
    <t>Admin</t>
  </si>
  <si>
    <t>Network Issue</t>
  </si>
  <si>
    <t>Password Reset</t>
  </si>
  <si>
    <t>Laptop Slow</t>
  </si>
  <si>
    <t>Software Install</t>
  </si>
  <si>
    <t>Printer Issue</t>
  </si>
  <si>
    <t>Email Issue</t>
  </si>
  <si>
    <t>VPN Issue</t>
  </si>
  <si>
    <t>High</t>
  </si>
  <si>
    <t>Low</t>
  </si>
  <si>
    <t>Medimum</t>
  </si>
  <si>
    <t>Closed</t>
  </si>
  <si>
    <t>Open</t>
  </si>
  <si>
    <t>In Progress</t>
  </si>
  <si>
    <t>Ayush</t>
  </si>
  <si>
    <t>Amitesh Mishra</t>
  </si>
  <si>
    <t>Total Tickets</t>
  </si>
  <si>
    <t>Closed Tickets</t>
  </si>
  <si>
    <t>Open Tickets</t>
  </si>
  <si>
    <t>Average Resolution Time</t>
  </si>
  <si>
    <t>Count</t>
  </si>
  <si>
    <t>Issue Type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</si>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</sst>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Ticket</a:t>
            </a:r>
            <a:r>
              <a:rPr lang="en-US" baseline="0"/>
              <a:t> Status Overview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Dashboard!$E$1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44B-4925-A21A-4A21BA12140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44B-4925-A21A-4A21BA12140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44B-4925-A21A-4A21BA12140C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Dashboard!$D$2:$D$4</c:f>
              <c:strCache>
                <c:ptCount val="3"/>
                <c:pt idx="0">
                  <c:v>Closed</c:v>
                </c:pt>
                <c:pt idx="1">
                  <c:v>Open</c:v>
                </c:pt>
                <c:pt idx="2">
                  <c:v>In Progress</c:v>
                </c:pt>
              </c:strCache>
            </c:strRef>
          </c:cat>
          <c:val>
            <c:numRef>
              <c:f>Dashboard!$E$2:$E$4</c:f>
              <c:numCache>
                <c:formatCode>General</c:formatCode>
                <c:ptCount val="3"/>
                <c:pt idx="0">
                  <c:v>5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D8-42C8-BC28-EFDB858E58B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Common</a:t>
            </a:r>
            <a:r>
              <a:rPr lang="en-US" baseline="0"/>
              <a:t> IT Issue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Dashboard!$K$1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Dashboard!$J$2:$J$8</c:f>
              <c:strCache>
                <c:ptCount val="7"/>
                <c:pt idx="0">
                  <c:v>Network Issue</c:v>
                </c:pt>
                <c:pt idx="1">
                  <c:v>Password Reset</c:v>
                </c:pt>
                <c:pt idx="2">
                  <c:v>Laptop Slow</c:v>
                </c:pt>
                <c:pt idx="3">
                  <c:v>Software Install</c:v>
                </c:pt>
                <c:pt idx="4">
                  <c:v>Printer Issue</c:v>
                </c:pt>
                <c:pt idx="5">
                  <c:v>Email Issue</c:v>
                </c:pt>
                <c:pt idx="6">
                  <c:v>VPN Issue</c:v>
                </c:pt>
              </c:strCache>
            </c:strRef>
          </c:cat>
          <c:val>
            <c:numRef>
              <c:f>Dashboard!$K$2:$K$8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0D-4A76-86E4-0284B6FAE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3490143"/>
        <c:axId val="1813490623"/>
      </c:barChart>
      <c:catAx>
        <c:axId val="1813490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490623"/>
        <c:crosses val="autoZero"/>
        <c:auto val="1"/>
        <c:lblAlgn val="ctr"/>
        <c:lblOffset val="100"/>
        <c:noMultiLvlLbl val="0"/>
      </c:catAx>
      <c:valAx>
        <c:axId val="181349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490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Ticket</a:t>
            </a:r>
            <a:r>
              <a:rPr lang="en-US" baseline="0"/>
              <a:t> Priority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011456061338796E-2"/>
          <c:y val="0.18894673602233064"/>
          <c:w val="0.89627653333245605"/>
          <c:h val="0.708588605641345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Dashboard!$Q$1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Dashboard!$P$2:$P$4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Dashboard!$Q$2:$Q$4</c:f>
              <c:numCache>
                <c:formatCode>General</c:formatCode>
                <c:ptCount val="3"/>
                <c:pt idx="0">
                  <c:v>3</c:v>
                </c:pt>
                <c:pt idx="1">
                  <c:v>0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E3-4922-A326-C23736B11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6355775"/>
        <c:axId val="1696354335"/>
      </c:barChart>
      <c:catAx>
        <c:axId val="1696355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354335"/>
        <c:crosses val="autoZero"/>
        <c:auto val="1"/>
        <c:lblAlgn val="ctr"/>
        <c:lblOffset val="100"/>
        <c:noMultiLvlLbl val="0"/>
      </c:catAx>
      <c:valAx>
        <c:axId val="169635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355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137160</xdr:colOff>
      <xdr:row>13</xdr:row>
      <xdr:rowOff>11430</xdr:rowOff>
    </xdr:from>
    <xdr:to>
      <xdr:col>6</xdr:col>
      <xdr:colOff>121920</xdr:colOff>
      <xdr:row>28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0CAA24-FE82-85FD-532C-50686CA598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480652</xdr:colOff>
      <xdr:row>12</xdr:row>
      <xdr:rowOff>151809</xdr:rowOff>
    </xdr:from>
    <xdr:to>
      <xdr:col>13</xdr:col>
      <xdr:colOff>589812</xdr:colOff>
      <xdr:row>27</xdr:row>
      <xdr:rowOff>151809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AC354DB-3D14-CC9E-FB6F-71D5F19A8E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553779</xdr:colOff>
      <xdr:row>12</xdr:row>
      <xdr:rowOff>173075</xdr:rowOff>
    </xdr:from>
    <xdr:to>
      <xdr:col>22</xdr:col>
      <xdr:colOff>236574</xdr:colOff>
      <xdr:row>27</xdr:row>
      <xdr:rowOff>133498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878478A-E5D6-D7E8-A38D-6FFC00AE4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05FBAB-9AA5-4149-832C-E3CBF666FF36}" name="Table1" displayName="Table1" ref="A1:I8" totalsRowShown="0">
  <autoFilter ref="A1:I8" xr:uid="{C105FBAB-9AA5-4149-832C-E3CBF666FF36}"/>
  <tableColumns count="9">
    <tableColumn id="1" xr3:uid="{FC3DFE04-EC7F-45AA-8EB2-FB3204A31237}" name="Ticket_ID"/>
    <tableColumn id="2" xr3:uid="{C222217F-37E2-4A71-8D22-C449C6A4D184}" name="Date" dataDxfId="0"/>
    <tableColumn id="3" xr3:uid="{C4B15069-1342-43D2-B12A-521243F47438}" name="User_Name"/>
    <tableColumn id="4" xr3:uid="{04831ED5-F7F2-4FF9-803A-0D5895BC1959}" name="Department"/>
    <tableColumn id="5" xr3:uid="{8A3F7F64-D3A8-4071-A91C-388BD83570FC}" name="Issue_Type"/>
    <tableColumn id="6" xr3:uid="{36F5BCCC-1FA7-45F1-A6E6-AAE91AD85EDB}" name="Priority"/>
    <tableColumn id="7" xr3:uid="{A22C3460-DF53-4E05-900C-D9ECF3A47358}" name="Status"/>
    <tableColumn id="8" xr3:uid="{F1B41B99-4C0D-4FDA-A08B-8C4F0056EFA6}" name="Resolution_Time_Hours"/>
    <tableColumn id="9" xr3:uid="{B9E2B066-021F-4911-A162-6C06E25FD8C9}" name="Engine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67CD1-9CA4-4763-87D2-68C645D2571F}">
  <sheetPr codeName="Sheet1"/>
  <dimension ref="A1:I8"/>
  <sheetViews>
    <sheetView workbookViewId="0">
      <selection activeCell="F18" sqref="F18"/>
    </sheetView>
  </sheetViews>
  <sheetFormatPr defaultRowHeight="14.4" x14ac:dyDescent="0.3"/>
  <cols>
    <col min="1" max="1" width="10.6640625" customWidth="1"/>
    <col min="2" max="2" width="10.33203125" bestFit="1" customWidth="1"/>
    <col min="3" max="3" width="12.6640625" customWidth="1"/>
    <col min="4" max="4" width="13" customWidth="1"/>
    <col min="5" max="5" width="13.88671875" bestFit="1" customWidth="1"/>
    <col min="6" max="6" width="9" customWidth="1"/>
    <col min="7" max="7" width="9.88671875" bestFit="1" customWidth="1"/>
    <col min="8" max="8" width="22.77734375" customWidth="1"/>
    <col min="9" max="9" width="13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46204</v>
      </c>
      <c r="C2" t="s">
        <v>16</v>
      </c>
      <c r="D2" t="s">
        <v>22</v>
      </c>
      <c r="E2" t="s">
        <v>27</v>
      </c>
      <c r="F2" t="s">
        <v>34</v>
      </c>
      <c r="G2" t="s">
        <v>37</v>
      </c>
      <c r="H2">
        <v>2</v>
      </c>
      <c r="I2" t="s">
        <v>41</v>
      </c>
    </row>
    <row r="3" spans="1:9" x14ac:dyDescent="0.3">
      <c r="A3" t="s">
        <v>10</v>
      </c>
      <c r="B3" s="1">
        <v>46204</v>
      </c>
      <c r="C3" t="s">
        <v>17</v>
      </c>
      <c r="D3" t="s">
        <v>23</v>
      </c>
      <c r="E3" t="s">
        <v>28</v>
      </c>
      <c r="F3" t="s">
        <v>35</v>
      </c>
      <c r="G3" t="s">
        <v>37</v>
      </c>
      <c r="H3">
        <v>1</v>
      </c>
      <c r="I3" t="s">
        <v>41</v>
      </c>
    </row>
    <row r="4" spans="1:9" x14ac:dyDescent="0.3">
      <c r="A4" t="s">
        <v>11</v>
      </c>
      <c r="B4" s="1">
        <v>46205</v>
      </c>
      <c r="C4" t="s">
        <v>18</v>
      </c>
      <c r="D4" t="s">
        <v>24</v>
      </c>
      <c r="E4" t="s">
        <v>29</v>
      </c>
      <c r="F4" t="s">
        <v>36</v>
      </c>
      <c r="G4" t="s">
        <v>38</v>
      </c>
      <c r="H4">
        <v>0</v>
      </c>
      <c r="I4" t="s">
        <v>41</v>
      </c>
    </row>
    <row r="5" spans="1:9" x14ac:dyDescent="0.3">
      <c r="A5" t="s">
        <v>12</v>
      </c>
      <c r="B5" s="1">
        <v>46206</v>
      </c>
      <c r="C5" t="s">
        <v>19</v>
      </c>
      <c r="D5" t="s">
        <v>25</v>
      </c>
      <c r="E5" t="s">
        <v>30</v>
      </c>
      <c r="F5" t="s">
        <v>36</v>
      </c>
      <c r="G5" t="s">
        <v>37</v>
      </c>
      <c r="H5">
        <v>3</v>
      </c>
      <c r="I5" t="s">
        <v>41</v>
      </c>
    </row>
    <row r="6" spans="1:9" x14ac:dyDescent="0.3">
      <c r="A6" t="s">
        <v>13</v>
      </c>
      <c r="B6" s="1">
        <v>46207</v>
      </c>
      <c r="C6" t="s">
        <v>20</v>
      </c>
      <c r="D6" t="s">
        <v>26</v>
      </c>
      <c r="E6" t="s">
        <v>31</v>
      </c>
      <c r="F6" t="s">
        <v>35</v>
      </c>
      <c r="G6" t="s">
        <v>37</v>
      </c>
      <c r="H6">
        <v>2</v>
      </c>
      <c r="I6" t="s">
        <v>41</v>
      </c>
    </row>
    <row r="7" spans="1:9" x14ac:dyDescent="0.3">
      <c r="A7" t="s">
        <v>14</v>
      </c>
      <c r="B7" s="1">
        <v>46208</v>
      </c>
      <c r="C7" t="s">
        <v>40</v>
      </c>
      <c r="D7" t="s">
        <v>22</v>
      </c>
      <c r="E7" t="s">
        <v>32</v>
      </c>
      <c r="F7" t="s">
        <v>34</v>
      </c>
      <c r="G7" t="s">
        <v>39</v>
      </c>
      <c r="H7">
        <v>0</v>
      </c>
      <c r="I7" t="s">
        <v>41</v>
      </c>
    </row>
    <row r="8" spans="1:9" x14ac:dyDescent="0.3">
      <c r="A8" t="s">
        <v>15</v>
      </c>
      <c r="B8" s="1">
        <v>46208</v>
      </c>
      <c r="C8" t="s">
        <v>21</v>
      </c>
      <c r="D8" t="s">
        <v>24</v>
      </c>
      <c r="E8" t="s">
        <v>33</v>
      </c>
      <c r="F8" t="s">
        <v>34</v>
      </c>
      <c r="G8" t="s">
        <v>37</v>
      </c>
      <c r="H8">
        <v>4</v>
      </c>
      <c r="I8" t="s">
        <v>41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B3414-C915-4DCA-9FF1-F9B13797180C}">
  <dimension ref="A1:Q8"/>
  <sheetViews>
    <sheetView tabSelected="1" zoomScale="73" workbookViewId="0">
      <selection activeCell="Z7" sqref="Z7"/>
    </sheetView>
  </sheetViews>
  <sheetFormatPr defaultRowHeight="14.4" x14ac:dyDescent="0.3"/>
  <cols>
    <col min="1" max="1" width="21.44140625" bestFit="1" customWidth="1"/>
    <col min="4" max="4" width="9.88671875" bestFit="1" customWidth="1"/>
    <col min="10" max="10" width="23.21875" bestFit="1" customWidth="1"/>
    <col min="11" max="11" width="9.77734375" bestFit="1" customWidth="1"/>
    <col min="16" max="16" width="12.77734375" bestFit="1" customWidth="1"/>
    <col min="17" max="17" width="9.77734375" bestFit="1" customWidth="1"/>
  </cols>
  <sheetData>
    <row r="1" spans="1:17" ht="23.4" x14ac:dyDescent="0.45">
      <c r="A1" s="2" t="s">
        <v>42</v>
      </c>
      <c r="B1" s="2">
        <f>COUNTA(Incident_Data!A:A)-1</f>
        <v>7</v>
      </c>
      <c r="C1" s="2"/>
      <c r="D1" s="2" t="s">
        <v>6</v>
      </c>
      <c r="E1" s="2" t="s">
        <v>46</v>
      </c>
      <c r="J1" s="2" t="s">
        <v>47</v>
      </c>
      <c r="K1" s="2" t="s">
        <v>46</v>
      </c>
      <c r="P1" s="2" t="s">
        <v>5</v>
      </c>
      <c r="Q1" s="2" t="s">
        <v>46</v>
      </c>
    </row>
    <row r="2" spans="1:17" ht="23.4" x14ac:dyDescent="0.45">
      <c r="A2" s="2"/>
      <c r="B2" s="2"/>
      <c r="C2" s="2"/>
      <c r="D2" s="2" t="s">
        <v>37</v>
      </c>
      <c r="E2" s="2">
        <f>COUNTIF(Incident_Data!G:G,D2)</f>
        <v>5</v>
      </c>
      <c r="J2" s="2" t="s">
        <v>27</v>
      </c>
      <c r="K2" s="2">
        <f>COUNTIF(Incident_Data!E:E,J2)</f>
        <v>1</v>
      </c>
      <c r="P2" s="2" t="s">
        <v>34</v>
      </c>
      <c r="Q2" s="2">
        <f>COUNTIF(Incident_Data!F:F,P2)</f>
        <v>3</v>
      </c>
    </row>
    <row r="3" spans="1:17" ht="23.4" x14ac:dyDescent="0.45">
      <c r="A3" s="2" t="s">
        <v>43</v>
      </c>
      <c r="B3" s="2">
        <f>COUNTIF(Incident_Data!G:G,"Closed")</f>
        <v>5</v>
      </c>
      <c r="C3" s="2"/>
      <c r="D3" s="2" t="s">
        <v>38</v>
      </c>
      <c r="E3" s="2">
        <f>COUNTIF(Incident_Data!G:G,D3)</f>
        <v>1</v>
      </c>
      <c r="J3" s="2" t="s">
        <v>28</v>
      </c>
      <c r="K3" s="2">
        <f>COUNTIF(Incident_Data!E:E,J3)</f>
        <v>1</v>
      </c>
      <c r="P3" s="2" t="s">
        <v>48</v>
      </c>
      <c r="Q3" s="2">
        <f>COUNTIF(Incident_Data!F:F,P3)</f>
        <v>0</v>
      </c>
    </row>
    <row r="4" spans="1:17" ht="23.4" x14ac:dyDescent="0.45">
      <c r="A4" s="2"/>
      <c r="B4" s="2"/>
      <c r="C4" s="2"/>
      <c r="D4" s="2" t="s">
        <v>39</v>
      </c>
      <c r="E4" s="2">
        <f>COUNTIF(Incident_Data!G:G,D4)</f>
        <v>1</v>
      </c>
      <c r="J4" s="2" t="s">
        <v>29</v>
      </c>
      <c r="K4" s="2">
        <f>COUNTIF(Incident_Data!E:E,J4)</f>
        <v>1</v>
      </c>
      <c r="P4" s="2" t="s">
        <v>35</v>
      </c>
      <c r="Q4" s="2">
        <f>COUNTIF(Incident_Data!F:F,P4)</f>
        <v>2</v>
      </c>
    </row>
    <row r="5" spans="1:17" ht="23.4" x14ac:dyDescent="0.45">
      <c r="A5" s="2" t="s">
        <v>44</v>
      </c>
      <c r="B5" s="2">
        <f>COUNTIF(Incident_Data!G:G,"Open")</f>
        <v>1</v>
      </c>
      <c r="C5" s="2"/>
      <c r="D5" s="2"/>
      <c r="E5" s="2"/>
      <c r="J5" s="2" t="s">
        <v>30</v>
      </c>
      <c r="K5" s="2">
        <f>COUNTIF(Incident_Data!E:E,J5)</f>
        <v>1</v>
      </c>
    </row>
    <row r="6" spans="1:17" ht="23.4" x14ac:dyDescent="0.45">
      <c r="A6" s="2"/>
      <c r="B6" s="2"/>
      <c r="C6" s="2"/>
      <c r="D6" s="2"/>
      <c r="E6" s="2"/>
      <c r="J6" s="2" t="s">
        <v>31</v>
      </c>
      <c r="K6" s="2">
        <f>COUNTIF(Incident_Data!E:E,J6)</f>
        <v>1</v>
      </c>
    </row>
    <row r="7" spans="1:17" ht="23.4" x14ac:dyDescent="0.45">
      <c r="A7" s="2" t="s">
        <v>45</v>
      </c>
      <c r="B7" s="2">
        <f>ROUND(AVERAGE(Incident_Data!H:H),2)</f>
        <v>1.71</v>
      </c>
      <c r="C7" s="2"/>
      <c r="D7" s="2"/>
      <c r="E7" s="2"/>
      <c r="J7" s="2" t="s">
        <v>32</v>
      </c>
      <c r="K7" s="2">
        <f>COUNTIF(Incident_Data!E:E,J7)</f>
        <v>1</v>
      </c>
    </row>
    <row r="8" spans="1:17" ht="23.4" x14ac:dyDescent="0.45">
      <c r="J8" s="2" t="s">
        <v>33</v>
      </c>
      <c r="K8" s="2">
        <f>COUNTIF(Incident_Data!E:E,J8)</f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Incident_Data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Amitesh Mishra</dc:creator>
  <cp:lastModifiedBy>Amitesh Mishra</cp:lastModifiedBy>
  <dcterms:created xsi:type="dcterms:W3CDTF">2026-07-05T03:27:52Z</dcterms:created>
  <dcterms:modified xsi:type="dcterms:W3CDTF">2026-07-05T04:44:42Z</dcterms:modified>
</cp:coreProperties>
</file>